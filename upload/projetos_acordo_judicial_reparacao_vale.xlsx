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hidePivotFieldList="1"/>
  <bookViews>
    <workbookView xWindow="0" yWindow="0" windowWidth="20490" windowHeight="7320" tabRatio="867"/>
  </bookViews>
  <sheets>
    <sheet name="Tabela 1 - Projetos com valor" sheetId="9" r:id="rId1"/>
    <sheet name="Tabela 2 - Projetos postergados" sheetId="8" r:id="rId2"/>
    <sheet name="Tabela 3 Projetos não incluí PL" sheetId="7" r:id="rId3"/>
    <sheet name="Plan1" sheetId="10" r:id="rId4"/>
  </sheets>
  <definedNames>
    <definedName name="_xlnm._FilterDatabase" localSheetId="0" hidden="1">'Tabela 1 - Projetos com valor'!$A$3:$D$66</definedName>
    <definedName name="_xlnm._FilterDatabase" localSheetId="1" hidden="1">'Tabela 2 - Projetos postergados'!$A$3:$D$21</definedName>
    <definedName name="_xlnm._FilterDatabase" localSheetId="2" hidden="1">'Tabela 3 Projetos não incluí PL'!$A$3:$D$7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2" i="9"/>
  <c r="I11"/>
  <c r="D11" l="1"/>
  <c r="D61" l="1"/>
  <c r="D42"/>
</calcChain>
</file>

<file path=xl/sharedStrings.xml><?xml version="1.0" encoding="utf-8"?>
<sst xmlns="http://schemas.openxmlformats.org/spreadsheetml/2006/main" count="427" uniqueCount="129">
  <si>
    <t>Anexo do Acordo</t>
  </si>
  <si>
    <t>Órgão</t>
  </si>
  <si>
    <t>II.3</t>
  </si>
  <si>
    <t>ARMBH</t>
  </si>
  <si>
    <t>SEDE</t>
  </si>
  <si>
    <t>Elaboração de Plano Metropolitano de Segurança Hídrica para a Região Metropolitana de Belo Horizonte.</t>
  </si>
  <si>
    <t>COPASA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</si>
  <si>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</si>
  <si>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</si>
  <si>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SEGOV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</si>
  <si>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</si>
  <si>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SEINFRA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</si>
  <si>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</si>
  <si>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</si>
  <si>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</si>
  <si>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</si>
  <si>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</si>
  <si>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AGE</t>
  </si>
  <si>
    <t>Reestruturação logística, tecnológica e de cobrança da dívida ativa da AGE</t>
  </si>
  <si>
    <t>Atualização do Plano Diretor de Desenvolvimento Integrado da Região Metropolitana de Belo Horizonte - PDDI-RMBH</t>
  </si>
  <si>
    <t>ARMVA</t>
  </si>
  <si>
    <t>Elaboração de Plano Metropolitano de Segurança Hídrica para a Região Metropolitana do Vale do Aço</t>
  </si>
  <si>
    <t>ARSAE</t>
  </si>
  <si>
    <t>Implantação do Sistema de Informações Regulatórias da ARSAE-MG</t>
  </si>
  <si>
    <t>CBMMG</t>
  </si>
  <si>
    <t>Execução de obras e serviços de engenharia em várias unidades do CBMMG</t>
  </si>
  <si>
    <t xml:space="preserve">Expansão e fortalecimento da Academia do Corpo de Bombeiros Militar </t>
  </si>
  <si>
    <t>Implementação do sistema de comunicação crítica do CBMMG para monitoramento das áreas de risco</t>
  </si>
  <si>
    <t>Instalação de canis em Unidades Operacionais do CBMMG</t>
  </si>
  <si>
    <t>Reestruturação das Tecnologias de Informação do CBMMG</t>
  </si>
  <si>
    <t>Renovação da frota da CBMMG, modernização logística e reposição de materiais</t>
  </si>
  <si>
    <t>CGE</t>
  </si>
  <si>
    <t>Fortalecimento e reestruturação tecnológica da Controladoria Geral do Estado</t>
  </si>
  <si>
    <t>Z. Estruturas de apoio</t>
  </si>
  <si>
    <t>FHEMIG</t>
  </si>
  <si>
    <t>SES</t>
  </si>
  <si>
    <t>Reestruturação dos Hospitais da Rede FHEMIG (Hospital Infantil João Paulo II, Hospital João XXIII e Hospital Júlia Kubitschek)</t>
  </si>
  <si>
    <t>FUNED</t>
  </si>
  <si>
    <t>Ações de Enfrentamento à COVID-19</t>
  </si>
  <si>
    <t>Estruturação, reforma e ampliação da Fundação Ezequiel Dias – Funed</t>
  </si>
  <si>
    <t>Estudo de viabilidade técnica e financeira e modelo de gestão da reestruturação da Fundação Ezequiel Dias – Funed</t>
  </si>
  <si>
    <t>GMG</t>
  </si>
  <si>
    <t>Convivência com a Seca - Construção de cisternas</t>
  </si>
  <si>
    <t>IEPHA</t>
  </si>
  <si>
    <t>SECULT</t>
  </si>
  <si>
    <t>Georreferenciamento de bens culturais protegidos</t>
  </si>
  <si>
    <t>IMA</t>
  </si>
  <si>
    <t>SEAPA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</si>
  <si>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</si>
  <si>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</si>
  <si>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</si>
  <si>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</si>
  <si>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OGE</t>
  </si>
  <si>
    <t>Implantação da Ouvidoria 4.0 e Ouvidoria Móvel</t>
  </si>
  <si>
    <t>PCMG</t>
  </si>
  <si>
    <t>Construção de Delegacia de Polícia em Nova Lima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</si>
  <si>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</si>
  <si>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</si>
  <si>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</si>
  <si>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Modernização das aeronaves da Polícia Civil do Estado de Minas Gerais</t>
  </si>
  <si>
    <t>Projeto ABIS - Sistema Automatizado de Identificação Biométrica</t>
  </si>
  <si>
    <t>PMMG</t>
  </si>
  <si>
    <t>Ampliação da capacidade de cobertura da malha aérea da Polícia Militar de Minas Gerais</t>
  </si>
  <si>
    <t>Ampliação da rede de rádio digital no interior do Estado de Minas Gerais</t>
  </si>
  <si>
    <t>Fortalecimento da atividade de recobrimento da Polícia Militar de Minas Gerais - Aquisição de motos para o Batalhão ROTAM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</si>
  <si>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</si>
  <si>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</si>
  <si>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</si>
  <si>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</si>
  <si>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</si>
  <si>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</si>
  <si>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</si>
  <si>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</si>
  <si>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</si>
  <si>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Gasoduto - Linha tronco Bacia do Paraopeba</t>
  </si>
  <si>
    <t>Corredor Sudoeste - Interligação do transporte público entre municípios atingidos e a Rede de Metrô da RMBH (ou alternativa ferroviária que se mostre viável)</t>
  </si>
  <si>
    <t>Elaboração de projetos rodoviários - Brumadinho-Mário Campos-BR381</t>
  </si>
  <si>
    <t>Elaboração de projetos rodoviários - Pequenas pontes (travessia de 29 cursos d'água)</t>
  </si>
  <si>
    <t>Melhoria da infraestrutura dos municípios por meio da conclusão de convênios em andamento - SEINFRA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</si>
  <si>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</si>
  <si>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</si>
  <si>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</si>
  <si>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SEJUSP</t>
  </si>
  <si>
    <t>Reintegração social e humanização do sistema prisional</t>
  </si>
  <si>
    <t>SEPLAG</t>
  </si>
  <si>
    <t>Ampliação de postos de abastecimento próprios do Estado</t>
  </si>
  <si>
    <t>Capacitação de gestores municipais</t>
  </si>
  <si>
    <t>Estruturação de Museu Ambiental</t>
  </si>
  <si>
    <t>Melhoria da estrutura logística e energética da Cidade Administrativa para redução de custos</t>
  </si>
  <si>
    <t>Conclusão de obra e Equipagem de Hospitais Regionais</t>
  </si>
  <si>
    <t>SISEMA</t>
  </si>
  <si>
    <t>Ações de Prevenção e Combate a Incêndio em Unidades de Conservação Estaduais</t>
  </si>
  <si>
    <t>Áreas de soltura no âmbito do Projeto Áreas de Soltura de Animais Silvestres - ASAS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</si>
  <si>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</si>
  <si>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</si>
  <si>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</si>
  <si>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</si>
  <si>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</si>
  <si>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Manutenção de mantenedouros e criadouros conservacionistas</t>
  </si>
  <si>
    <t>Estruturas de apoio</t>
  </si>
  <si>
    <t>Z. Ressarcimentos e contratações temporárias</t>
  </si>
  <si>
    <t>Contratações temporárias</t>
  </si>
  <si>
    <t>Ressarcimentos de despesas públicas</t>
  </si>
  <si>
    <t>Total</t>
  </si>
  <si>
    <t>Revisão e atualização do PELT - Plano Estratégico de Logística de Transportes de Minas Gerais</t>
  </si>
  <si>
    <t>Aquisição de caminhões tanque abastecedores</t>
  </si>
  <si>
    <t>Capacitação, por meio de educação à distância, em Defesa Civil</t>
  </si>
  <si>
    <t>Estruturação e potencialização da Escola de Defesa Civil</t>
  </si>
  <si>
    <t>SEPLAG (PM e CBM)</t>
  </si>
  <si>
    <t>TABELA 1</t>
  </si>
  <si>
    <t>TABELA 2</t>
  </si>
  <si>
    <t>TABELA 3</t>
  </si>
  <si>
    <t>Melhoria da infraestrutura dos municípios</t>
  </si>
  <si>
    <t>Projeto</t>
  </si>
  <si>
    <t>Melhoria da infraestrutura dos municípios - Outros repasses</t>
  </si>
  <si>
    <t>Valor</t>
  </si>
  <si>
    <t>PROJETO</t>
  </si>
  <si>
    <t>INSTRUMENTO DE ENTRADA</t>
  </si>
  <si>
    <t>Recuperação de rodovias pavimentadas em pior estado, conforme avaliação técnica do DER-MG / conclusão de corredor logístico estruturante, conforme critérios técnicos da Seinfra / melhoria da infraestrutura dos municípios + Melhoria da infraestrutura dos municípios por meio da conclusão de convênios em andamento - SEGOV Municípios</t>
  </si>
  <si>
    <t>Melhoria da infraestrutura dos municípios por meio da conclusão de convênios em andamento - Outros repasses</t>
  </si>
  <si>
    <t>Ressarcimentos de despesas públicas;</t>
  </si>
  <si>
    <t>Medidas diversas para o enfrentamento da COVID-19.</t>
  </si>
  <si>
    <t>Conclusão de obra e aquisição parcial de equipamentos para a ala "D" do Hospital Eduardo de Menezes, como área de isolamento do COVID-19.</t>
  </si>
  <si>
    <t>Reaplicação de recursos obtidos por meio de ressarcimento de despesas referentes a atividades relativas ao rompimento da barragem B1 da Minas Córrego do Feijão da Vale S.A. em Brumadinho. Para despesas ressarcidas de pessoal, a reaplicação deve ser também em pessoal; para ressarcimentos de despesas de outras naturezas, é possível a reaplicação em despesas distintas, desde que autorizadas pelo Comitê Gestor Pró-Brumadinho, entendendo-se que isso significa alocação em despesas inicialmente planejadas que foram contingenciadas por aplicação de recursos em atividades relacionadas ao rompimento.</t>
  </si>
  <si>
    <t>Medidas diversas para efetivação da Agenda Integrada Minas Gerais e Espírito Santo para a o desenvolvimento da Bacia do Rio Doce.</t>
  </si>
  <si>
    <t>Apoio às ações de consolidação da unidade de conservação do PERD</t>
  </si>
  <si>
    <t>Aquisição de respiradores para o enfrentamento da COVID-19.</t>
  </si>
  <si>
    <t>codigo_projeto</t>
  </si>
  <si>
    <t>Ressarcimentos e contratações temporárias</t>
  </si>
</sst>
</file>

<file path=xl/styles.xml><?xml version="1.0" encoding="utf-8"?>
<styleSheet xmlns="http://schemas.openxmlformats.org/spreadsheetml/2006/main">
  <numFmts count="1">
    <numFmt numFmtId="43" formatCode="_-* #,##0.00_-;\-* #,##0.00_-;_-* &quot;-&quot;??_-;_-@_-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left" vertical="center" wrapText="1"/>
    </xf>
    <xf numFmtId="43" fontId="0" fillId="0" borderId="0" xfId="1" applyFont="1" applyAlignment="1">
      <alignment wrapText="1"/>
    </xf>
    <xf numFmtId="43" fontId="0" fillId="0" borderId="1" xfId="1" applyFont="1" applyBorder="1" applyAlignment="1">
      <alignment wrapText="1"/>
    </xf>
    <xf numFmtId="43" fontId="0" fillId="0" borderId="1" xfId="1" applyFont="1" applyFill="1" applyBorder="1" applyAlignment="1">
      <alignment wrapText="1"/>
    </xf>
    <xf numFmtId="0" fontId="0" fillId="0" borderId="1" xfId="0" pivotButton="1" applyBorder="1" applyAlignment="1">
      <alignment wrapText="1"/>
    </xf>
    <xf numFmtId="0" fontId="0" fillId="0" borderId="2" xfId="0" applyBorder="1" applyAlignment="1">
      <alignment wrapText="1"/>
    </xf>
    <xf numFmtId="43" fontId="0" fillId="0" borderId="2" xfId="1" applyFont="1" applyBorder="1" applyAlignment="1">
      <alignment wrapText="1"/>
    </xf>
    <xf numFmtId="0" fontId="0" fillId="0" borderId="3" xfId="0" applyBorder="1" applyAlignment="1">
      <alignment wrapText="1"/>
    </xf>
    <xf numFmtId="43" fontId="0" fillId="0" borderId="3" xfId="1" applyFont="1" applyBorder="1" applyAlignment="1">
      <alignment wrapText="1"/>
    </xf>
    <xf numFmtId="0" fontId="0" fillId="0" borderId="4" xfId="0" applyBorder="1" applyAlignment="1">
      <alignment wrapText="1"/>
    </xf>
    <xf numFmtId="43" fontId="0" fillId="0" borderId="4" xfId="1" applyFont="1" applyBorder="1" applyAlignment="1">
      <alignment wrapText="1"/>
    </xf>
    <xf numFmtId="4" fontId="0" fillId="0" borderId="0" xfId="0" applyNumberFormat="1"/>
    <xf numFmtId="0" fontId="0" fillId="0" borderId="0" xfId="0" applyAlignment="1">
      <alignment horizontal="left" wrapText="1"/>
    </xf>
    <xf numFmtId="0" fontId="3" fillId="2" borderId="0" xfId="0" applyFont="1" applyFill="1"/>
    <xf numFmtId="0" fontId="4" fillId="0" borderId="0" xfId="0" applyFont="1" applyBorder="1" applyAlignment="1">
      <alignment wrapText="1"/>
    </xf>
    <xf numFmtId="43" fontId="0" fillId="0" borderId="0" xfId="1" applyFont="1"/>
  </cellXfs>
  <cellStyles count="2">
    <cellStyle name="Normal" xfId="0" builtinId="0"/>
    <cellStyle name="Separador de milhares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64"/>
  <sheetViews>
    <sheetView tabSelected="1" showWhiteSpace="0" zoomScale="90" zoomScaleNormal="90" zoomScalePageLayoutView="85" workbookViewId="0">
      <selection activeCell="H59" sqref="H59"/>
    </sheetView>
  </sheetViews>
  <sheetFormatPr defaultRowHeight="15"/>
  <cols>
    <col min="1" max="1" width="8.28515625" style="1" customWidth="1"/>
    <col min="2" max="2" width="10.42578125" style="1" customWidth="1"/>
    <col min="3" max="3" width="49.5703125" style="1" customWidth="1"/>
    <col min="4" max="4" width="17.7109375" style="4" bestFit="1" customWidth="1"/>
    <col min="5" max="8" width="9.140625" style="1"/>
    <col min="9" max="9" width="17.7109375" style="4" bestFit="1" customWidth="1"/>
    <col min="10" max="16384" width="9.140625" style="1"/>
  </cols>
  <sheetData>
    <row r="1" spans="1:9" ht="30" customHeight="1">
      <c r="A1" s="15" t="s">
        <v>109</v>
      </c>
      <c r="B1" s="15"/>
      <c r="C1" s="15"/>
      <c r="D1" s="15"/>
    </row>
    <row r="3" spans="1:9" ht="45">
      <c r="A3" s="2" t="s">
        <v>0</v>
      </c>
      <c r="B3" s="2" t="s">
        <v>1</v>
      </c>
      <c r="C3" s="2" t="s">
        <v>113</v>
      </c>
      <c r="D3" s="5" t="s">
        <v>115</v>
      </c>
      <c r="F3" t="s">
        <v>127</v>
      </c>
      <c r="G3" t="s">
        <v>113</v>
      </c>
      <c r="H3" t="s">
        <v>0</v>
      </c>
      <c r="I3" s="18" t="s">
        <v>115</v>
      </c>
    </row>
    <row r="4" spans="1:9" ht="90">
      <c r="A4" s="10" t="s">
        <v>2</v>
      </c>
      <c r="B4" s="10" t="s">
        <v>6</v>
      </c>
      <c r="C4" s="10" t="s">
        <v>7</v>
      </c>
      <c r="D4" s="11">
        <v>2050000000</v>
      </c>
      <c r="F4">
        <v>9288212</v>
      </c>
      <c r="G4" t="s">
        <v>7</v>
      </c>
      <c r="H4" t="s">
        <v>2</v>
      </c>
      <c r="I4" s="18">
        <v>2050000000</v>
      </c>
    </row>
    <row r="5" spans="1:9" ht="75">
      <c r="A5" s="2" t="s">
        <v>8</v>
      </c>
      <c r="B5" s="2" t="s">
        <v>9</v>
      </c>
      <c r="C5" s="2" t="s">
        <v>10</v>
      </c>
      <c r="D5" s="5">
        <v>450000000</v>
      </c>
      <c r="F5">
        <v>9288130</v>
      </c>
      <c r="G5" t="s">
        <v>10</v>
      </c>
      <c r="H5" t="s">
        <v>8</v>
      </c>
      <c r="I5" s="18">
        <v>450000000</v>
      </c>
    </row>
    <row r="6" spans="1:9" ht="30">
      <c r="A6" s="2" t="s">
        <v>8</v>
      </c>
      <c r="B6" s="2" t="s">
        <v>11</v>
      </c>
      <c r="C6" s="2" t="s">
        <v>12</v>
      </c>
      <c r="D6" s="5">
        <v>427970000</v>
      </c>
      <c r="F6" t="e">
        <v>#N/A</v>
      </c>
      <c r="G6" t="s">
        <v>12</v>
      </c>
      <c r="H6" t="s">
        <v>8</v>
      </c>
      <c r="I6" s="18">
        <v>427970000</v>
      </c>
    </row>
    <row r="7" spans="1:9" ht="30">
      <c r="A7" s="2" t="s">
        <v>8</v>
      </c>
      <c r="B7" s="2" t="s">
        <v>11</v>
      </c>
      <c r="C7" s="2" t="s">
        <v>13</v>
      </c>
      <c r="D7" s="5">
        <v>300000000</v>
      </c>
      <c r="F7"/>
      <c r="G7" t="s">
        <v>13</v>
      </c>
      <c r="H7" t="s">
        <v>8</v>
      </c>
      <c r="I7" s="18">
        <v>300000000</v>
      </c>
    </row>
    <row r="8" spans="1:9" ht="30">
      <c r="A8" s="2" t="s">
        <v>8</v>
      </c>
      <c r="B8" s="2" t="s">
        <v>11</v>
      </c>
      <c r="C8" s="2" t="s">
        <v>14</v>
      </c>
      <c r="D8" s="5">
        <v>3072030000</v>
      </c>
      <c r="F8">
        <v>9288180</v>
      </c>
      <c r="G8" t="s">
        <v>14</v>
      </c>
      <c r="H8" t="s">
        <v>8</v>
      </c>
      <c r="I8" s="18">
        <v>3072030000</v>
      </c>
    </row>
    <row r="9" spans="1:9" ht="60">
      <c r="A9" s="2" t="s">
        <v>8</v>
      </c>
      <c r="B9" s="2" t="s">
        <v>11</v>
      </c>
      <c r="C9" s="2" t="s">
        <v>15</v>
      </c>
      <c r="D9" s="5">
        <v>700000000</v>
      </c>
      <c r="F9">
        <v>9288133</v>
      </c>
      <c r="G9" t="s">
        <v>15</v>
      </c>
      <c r="H9" t="s">
        <v>8</v>
      </c>
      <c r="I9" s="18">
        <v>700000000</v>
      </c>
    </row>
    <row r="10" spans="1:9" ht="45">
      <c r="A10" s="2" t="s">
        <v>16</v>
      </c>
      <c r="B10" s="2" t="s">
        <v>3</v>
      </c>
      <c r="C10" s="2" t="s">
        <v>5</v>
      </c>
      <c r="D10" s="5">
        <v>2000000</v>
      </c>
      <c r="F10">
        <v>9288185</v>
      </c>
      <c r="G10" t="s">
        <v>5</v>
      </c>
      <c r="H10" t="s">
        <v>16</v>
      </c>
      <c r="I10" s="18">
        <v>2000000</v>
      </c>
    </row>
    <row r="11" spans="1:9" ht="30">
      <c r="A11" s="2" t="s">
        <v>16</v>
      </c>
      <c r="B11" s="2" t="s">
        <v>17</v>
      </c>
      <c r="C11" s="2" t="s">
        <v>18</v>
      </c>
      <c r="D11" s="5">
        <f>8700000+14431467.96</f>
        <v>23131467.960000001</v>
      </c>
      <c r="F11">
        <v>9288176</v>
      </c>
      <c r="G11" t="s">
        <v>18</v>
      </c>
      <c r="H11" t="s">
        <v>16</v>
      </c>
      <c r="I11" s="18">
        <f>8700000+14431467.96</f>
        <v>23131467.960000001</v>
      </c>
    </row>
    <row r="12" spans="1:9" ht="45">
      <c r="A12" s="2" t="s">
        <v>16</v>
      </c>
      <c r="B12" s="2" t="s">
        <v>3</v>
      </c>
      <c r="C12" s="2" t="s">
        <v>19</v>
      </c>
      <c r="D12" s="5">
        <v>3200000</v>
      </c>
      <c r="F12">
        <v>9288139</v>
      </c>
      <c r="G12" t="s">
        <v>19</v>
      </c>
      <c r="H12" t="s">
        <v>16</v>
      </c>
      <c r="I12" s="18">
        <v>3200000</v>
      </c>
    </row>
    <row r="13" spans="1:9" ht="30">
      <c r="A13" s="8" t="s">
        <v>16</v>
      </c>
      <c r="B13" s="8" t="s">
        <v>22</v>
      </c>
      <c r="C13" s="8" t="s">
        <v>23</v>
      </c>
      <c r="D13" s="9">
        <v>1345000</v>
      </c>
      <c r="F13">
        <v>9288135</v>
      </c>
      <c r="G13" t="s">
        <v>23</v>
      </c>
      <c r="H13" t="s">
        <v>16</v>
      </c>
      <c r="I13" s="18">
        <v>1345000</v>
      </c>
    </row>
    <row r="14" spans="1:9" ht="30">
      <c r="A14" s="2" t="s">
        <v>16</v>
      </c>
      <c r="B14" s="2" t="s">
        <v>24</v>
      </c>
      <c r="C14" s="2" t="s">
        <v>25</v>
      </c>
      <c r="D14" s="5">
        <v>43368482</v>
      </c>
      <c r="F14">
        <v>9288169</v>
      </c>
      <c r="G14" t="s">
        <v>25</v>
      </c>
      <c r="H14" t="s">
        <v>16</v>
      </c>
      <c r="I14" s="18">
        <v>43368482</v>
      </c>
    </row>
    <row r="15" spans="1:9" ht="30">
      <c r="A15" s="10" t="s">
        <v>16</v>
      </c>
      <c r="B15" s="10" t="s">
        <v>24</v>
      </c>
      <c r="C15" s="10" t="s">
        <v>26</v>
      </c>
      <c r="D15" s="11">
        <v>130000000</v>
      </c>
      <c r="F15">
        <v>9288168</v>
      </c>
      <c r="G15" t="s">
        <v>26</v>
      </c>
      <c r="H15" t="s">
        <v>16</v>
      </c>
      <c r="I15" s="18">
        <v>130000000</v>
      </c>
    </row>
    <row r="16" spans="1:9" ht="30">
      <c r="A16" s="2" t="s">
        <v>16</v>
      </c>
      <c r="B16" s="2" t="s">
        <v>24</v>
      </c>
      <c r="C16" s="2" t="s">
        <v>29</v>
      </c>
      <c r="D16" s="5">
        <v>3773400</v>
      </c>
      <c r="F16">
        <v>9288167</v>
      </c>
      <c r="G16" t="s">
        <v>29</v>
      </c>
      <c r="H16" t="s">
        <v>16</v>
      </c>
      <c r="I16" s="18">
        <v>3773400</v>
      </c>
    </row>
    <row r="17" spans="1:9" ht="30">
      <c r="A17" s="2" t="s">
        <v>16</v>
      </c>
      <c r="B17" s="2" t="s">
        <v>31</v>
      </c>
      <c r="C17" s="2" t="s">
        <v>32</v>
      </c>
      <c r="D17" s="5">
        <v>5100000</v>
      </c>
      <c r="F17">
        <v>9288155</v>
      </c>
      <c r="G17" t="s">
        <v>32</v>
      </c>
      <c r="H17" t="s">
        <v>16</v>
      </c>
      <c r="I17" s="18">
        <v>5100000</v>
      </c>
    </row>
    <row r="18" spans="1:9" ht="45">
      <c r="A18" s="2" t="s">
        <v>16</v>
      </c>
      <c r="B18" s="2" t="s">
        <v>34</v>
      </c>
      <c r="C18" s="2" t="s">
        <v>36</v>
      </c>
      <c r="D18" s="5">
        <v>111480000</v>
      </c>
      <c r="F18">
        <v>9288136</v>
      </c>
      <c r="G18" t="s">
        <v>36</v>
      </c>
      <c r="H18" t="s">
        <v>16</v>
      </c>
      <c r="I18" s="18">
        <v>111480000</v>
      </c>
    </row>
    <row r="19" spans="1:9" ht="30">
      <c r="A19" s="2" t="s">
        <v>16</v>
      </c>
      <c r="B19" s="2" t="s">
        <v>37</v>
      </c>
      <c r="C19" s="2" t="s">
        <v>39</v>
      </c>
      <c r="D19" s="5">
        <v>199489167.000002</v>
      </c>
      <c r="F19">
        <v>9288214</v>
      </c>
      <c r="G19" t="s">
        <v>39</v>
      </c>
      <c r="H19" t="s">
        <v>16</v>
      </c>
      <c r="I19" s="18">
        <v>199489167.000002</v>
      </c>
    </row>
    <row r="20" spans="1:9" ht="45">
      <c r="A20" s="2" t="s">
        <v>16</v>
      </c>
      <c r="B20" s="2" t="s">
        <v>37</v>
      </c>
      <c r="C20" s="2" t="s">
        <v>40</v>
      </c>
      <c r="D20" s="5">
        <v>1200000</v>
      </c>
      <c r="F20">
        <v>9288209</v>
      </c>
      <c r="G20" t="s">
        <v>40</v>
      </c>
      <c r="H20" t="s">
        <v>16</v>
      </c>
      <c r="I20" s="18">
        <v>1200000</v>
      </c>
    </row>
    <row r="21" spans="1:9">
      <c r="A21" s="2" t="s">
        <v>16</v>
      </c>
      <c r="B21" s="2" t="s">
        <v>41</v>
      </c>
      <c r="C21" s="2" t="s">
        <v>42</v>
      </c>
      <c r="D21" s="5">
        <v>14817323</v>
      </c>
      <c r="F21">
        <v>9288147</v>
      </c>
      <c r="G21" t="s">
        <v>42</v>
      </c>
      <c r="H21" t="s">
        <v>16</v>
      </c>
      <c r="I21" s="18">
        <v>14817323</v>
      </c>
    </row>
    <row r="22" spans="1:9">
      <c r="A22" s="2" t="s">
        <v>16</v>
      </c>
      <c r="B22" s="2" t="s">
        <v>43</v>
      </c>
      <c r="C22" s="2" t="s">
        <v>45</v>
      </c>
      <c r="D22" s="5">
        <v>500000</v>
      </c>
      <c r="F22">
        <v>9288141</v>
      </c>
      <c r="G22" t="s">
        <v>45</v>
      </c>
      <c r="H22" t="s">
        <v>16</v>
      </c>
      <c r="I22" s="18">
        <v>500000</v>
      </c>
    </row>
    <row r="23" spans="1:9" ht="30">
      <c r="A23" s="2" t="s">
        <v>16</v>
      </c>
      <c r="B23" s="2" t="s">
        <v>46</v>
      </c>
      <c r="C23" s="2" t="s">
        <v>48</v>
      </c>
      <c r="D23" s="5">
        <v>29712000</v>
      </c>
      <c r="F23">
        <v>9288142</v>
      </c>
      <c r="G23" t="s">
        <v>48</v>
      </c>
      <c r="H23" t="s">
        <v>16</v>
      </c>
      <c r="I23" s="18">
        <v>29712000</v>
      </c>
    </row>
    <row r="24" spans="1:9" ht="30">
      <c r="A24" s="2" t="s">
        <v>16</v>
      </c>
      <c r="B24" s="2" t="s">
        <v>46</v>
      </c>
      <c r="C24" s="2" t="s">
        <v>49</v>
      </c>
      <c r="D24" s="5">
        <v>3900000</v>
      </c>
      <c r="F24">
        <v>9288193</v>
      </c>
      <c r="G24" t="s">
        <v>49</v>
      </c>
      <c r="H24" t="s">
        <v>16</v>
      </c>
      <c r="I24" s="18">
        <v>3900000</v>
      </c>
    </row>
    <row r="25" spans="1:9" ht="30">
      <c r="A25" s="2" t="s">
        <v>16</v>
      </c>
      <c r="B25" s="2" t="s">
        <v>46</v>
      </c>
      <c r="C25" s="2" t="s">
        <v>50</v>
      </c>
      <c r="D25" s="5">
        <v>3600000</v>
      </c>
      <c r="F25">
        <v>9288194</v>
      </c>
      <c r="G25" t="s">
        <v>50</v>
      </c>
      <c r="H25" t="s">
        <v>16</v>
      </c>
      <c r="I25" s="18">
        <v>3600000</v>
      </c>
    </row>
    <row r="26" spans="1:9" ht="30">
      <c r="A26" s="2" t="s">
        <v>16</v>
      </c>
      <c r="B26" s="2" t="s">
        <v>46</v>
      </c>
      <c r="C26" s="2" t="s">
        <v>51</v>
      </c>
      <c r="D26" s="5">
        <v>5000000</v>
      </c>
      <c r="F26">
        <v>9288149</v>
      </c>
      <c r="G26" t="s">
        <v>51</v>
      </c>
      <c r="H26" t="s">
        <v>16</v>
      </c>
      <c r="I26" s="18">
        <v>5000000</v>
      </c>
    </row>
    <row r="27" spans="1:9">
      <c r="A27" s="8" t="s">
        <v>16</v>
      </c>
      <c r="B27" s="8" t="s">
        <v>52</v>
      </c>
      <c r="C27" s="8" t="s">
        <v>53</v>
      </c>
      <c r="D27" s="9">
        <v>728000</v>
      </c>
      <c r="F27">
        <v>9288143</v>
      </c>
      <c r="G27" t="s">
        <v>53</v>
      </c>
      <c r="H27" t="s">
        <v>16</v>
      </c>
      <c r="I27" s="18">
        <v>728000</v>
      </c>
    </row>
    <row r="28" spans="1:9" ht="30">
      <c r="A28" s="2" t="s">
        <v>16</v>
      </c>
      <c r="B28" s="2" t="s">
        <v>54</v>
      </c>
      <c r="C28" s="2" t="s">
        <v>56</v>
      </c>
      <c r="D28" s="5">
        <v>49000000</v>
      </c>
      <c r="F28">
        <v>9288144</v>
      </c>
      <c r="G28" t="s">
        <v>56</v>
      </c>
      <c r="H28" t="s">
        <v>16</v>
      </c>
      <c r="I28" s="18">
        <v>49000000</v>
      </c>
    </row>
    <row r="29" spans="1:9" ht="30">
      <c r="A29" s="2" t="s">
        <v>16</v>
      </c>
      <c r="B29" s="2" t="s">
        <v>54</v>
      </c>
      <c r="C29" s="2" t="s">
        <v>57</v>
      </c>
      <c r="D29" s="6">
        <v>42412000</v>
      </c>
      <c r="F29">
        <v>9288196</v>
      </c>
      <c r="G29" t="s">
        <v>57</v>
      </c>
      <c r="H29" t="s">
        <v>16</v>
      </c>
      <c r="I29" s="18">
        <v>42412000</v>
      </c>
    </row>
    <row r="30" spans="1:9" ht="30">
      <c r="A30" s="2" t="s">
        <v>16</v>
      </c>
      <c r="B30" s="2" t="s">
        <v>54</v>
      </c>
      <c r="C30" s="2" t="s">
        <v>60</v>
      </c>
      <c r="D30" s="6">
        <v>45345000</v>
      </c>
      <c r="F30">
        <v>9288145</v>
      </c>
      <c r="G30" t="s">
        <v>60</v>
      </c>
      <c r="H30" t="s">
        <v>16</v>
      </c>
      <c r="I30" s="18">
        <v>45345000</v>
      </c>
    </row>
    <row r="31" spans="1:9" ht="30">
      <c r="A31" s="12" t="s">
        <v>16</v>
      </c>
      <c r="B31" s="12" t="s">
        <v>61</v>
      </c>
      <c r="C31" s="12" t="s">
        <v>63</v>
      </c>
      <c r="D31" s="13">
        <v>100000000</v>
      </c>
      <c r="F31">
        <v>9288137</v>
      </c>
      <c r="G31" t="s">
        <v>63</v>
      </c>
      <c r="H31" t="s">
        <v>16</v>
      </c>
      <c r="I31" s="18">
        <v>100000000</v>
      </c>
    </row>
    <row r="32" spans="1:9">
      <c r="A32" s="2" t="s">
        <v>16</v>
      </c>
      <c r="B32" s="2" t="s">
        <v>61</v>
      </c>
      <c r="C32" s="2" t="s">
        <v>65</v>
      </c>
      <c r="D32" s="5">
        <v>3000000</v>
      </c>
      <c r="F32">
        <v>9288148</v>
      </c>
      <c r="G32" t="s">
        <v>65</v>
      </c>
      <c r="H32" t="s">
        <v>16</v>
      </c>
      <c r="I32" s="18">
        <v>3000000</v>
      </c>
    </row>
    <row r="33" spans="1:9">
      <c r="A33" s="2" t="s">
        <v>16</v>
      </c>
      <c r="B33" s="2" t="s">
        <v>61</v>
      </c>
      <c r="C33" s="2" t="s">
        <v>66</v>
      </c>
      <c r="D33" s="5">
        <v>39614000</v>
      </c>
      <c r="F33">
        <v>9288138</v>
      </c>
      <c r="G33" t="s">
        <v>66</v>
      </c>
      <c r="H33" t="s">
        <v>16</v>
      </c>
      <c r="I33" s="18">
        <v>39614000</v>
      </c>
    </row>
    <row r="34" spans="1:9">
      <c r="A34" s="10" t="s">
        <v>16</v>
      </c>
      <c r="B34" s="10" t="s">
        <v>61</v>
      </c>
      <c r="C34" s="10" t="s">
        <v>67</v>
      </c>
      <c r="D34" s="11">
        <v>10671300</v>
      </c>
      <c r="F34">
        <v>9288150</v>
      </c>
      <c r="G34" t="s">
        <v>67</v>
      </c>
      <c r="H34" t="s">
        <v>16</v>
      </c>
      <c r="I34" s="18">
        <v>10671300</v>
      </c>
    </row>
    <row r="35" spans="1:9">
      <c r="A35" s="2" t="s">
        <v>16</v>
      </c>
      <c r="B35" s="2" t="s">
        <v>47</v>
      </c>
      <c r="C35" s="2" t="s">
        <v>68</v>
      </c>
      <c r="D35" s="5">
        <v>800000</v>
      </c>
      <c r="F35">
        <v>9321270</v>
      </c>
      <c r="G35" t="s">
        <v>68</v>
      </c>
      <c r="H35" t="s">
        <v>16</v>
      </c>
      <c r="I35" s="18">
        <v>800000</v>
      </c>
    </row>
    <row r="36" spans="1:9" ht="30">
      <c r="A36" s="2" t="s">
        <v>16</v>
      </c>
      <c r="B36" s="2" t="s">
        <v>44</v>
      </c>
      <c r="C36" s="2" t="s">
        <v>69</v>
      </c>
      <c r="D36" s="5">
        <v>15130000</v>
      </c>
      <c r="F36">
        <v>9288152</v>
      </c>
      <c r="G36" t="s">
        <v>69</v>
      </c>
      <c r="H36" t="s">
        <v>16</v>
      </c>
      <c r="I36" s="18">
        <v>15130000</v>
      </c>
    </row>
    <row r="37" spans="1:9" ht="30">
      <c r="A37" s="2" t="s">
        <v>16</v>
      </c>
      <c r="B37" s="2" t="s">
        <v>44</v>
      </c>
      <c r="C37" s="2" t="s">
        <v>70</v>
      </c>
      <c r="D37" s="5">
        <v>3000000</v>
      </c>
      <c r="F37">
        <v>9288153</v>
      </c>
      <c r="G37" t="s">
        <v>70</v>
      </c>
      <c r="H37" t="s">
        <v>16</v>
      </c>
      <c r="I37" s="18">
        <v>3000000</v>
      </c>
    </row>
    <row r="38" spans="1:9" ht="30">
      <c r="A38" s="2" t="s">
        <v>16</v>
      </c>
      <c r="B38" s="2" t="s">
        <v>44</v>
      </c>
      <c r="C38" s="2" t="s">
        <v>71</v>
      </c>
      <c r="D38" s="5">
        <v>650000</v>
      </c>
      <c r="F38">
        <v>9288154</v>
      </c>
      <c r="G38" t="s">
        <v>71</v>
      </c>
      <c r="H38" t="s">
        <v>16</v>
      </c>
      <c r="I38" s="18">
        <v>650000</v>
      </c>
    </row>
    <row r="39" spans="1:9" ht="45">
      <c r="A39" s="2" t="s">
        <v>16</v>
      </c>
      <c r="B39" s="2" t="s">
        <v>4</v>
      </c>
      <c r="C39" s="2" t="s">
        <v>72</v>
      </c>
      <c r="D39" s="5">
        <v>2500000</v>
      </c>
      <c r="F39">
        <v>9288210</v>
      </c>
      <c r="G39" t="s">
        <v>72</v>
      </c>
      <c r="H39" t="s">
        <v>16</v>
      </c>
      <c r="I39" s="18">
        <v>2500000</v>
      </c>
    </row>
    <row r="40" spans="1:9" ht="60">
      <c r="A40" s="2" t="s">
        <v>16</v>
      </c>
      <c r="B40" s="2" t="s">
        <v>4</v>
      </c>
      <c r="C40" s="2" t="s">
        <v>73</v>
      </c>
      <c r="D40" s="5">
        <v>3200000</v>
      </c>
      <c r="F40">
        <v>9288211</v>
      </c>
      <c r="G40" t="s">
        <v>73</v>
      </c>
      <c r="H40" t="s">
        <v>16</v>
      </c>
      <c r="I40" s="18">
        <v>3200000</v>
      </c>
    </row>
    <row r="41" spans="1:9" ht="30">
      <c r="A41" s="2" t="s">
        <v>16</v>
      </c>
      <c r="B41" s="2" t="s">
        <v>9</v>
      </c>
      <c r="C41" s="2" t="s">
        <v>114</v>
      </c>
      <c r="D41" s="5">
        <v>100370000</v>
      </c>
      <c r="F41">
        <v>9288177</v>
      </c>
      <c r="G41" t="s">
        <v>114</v>
      </c>
      <c r="H41" t="s">
        <v>16</v>
      </c>
      <c r="I41" s="18">
        <v>100370000</v>
      </c>
    </row>
    <row r="42" spans="1:9">
      <c r="A42" s="2" t="s">
        <v>16</v>
      </c>
      <c r="B42" s="2" t="s">
        <v>9</v>
      </c>
      <c r="C42" s="2" t="s">
        <v>112</v>
      </c>
      <c r="D42" s="5">
        <f>1048250000+59300000</f>
        <v>1107550000</v>
      </c>
      <c r="F42">
        <v>9288177</v>
      </c>
      <c r="G42" t="s">
        <v>112</v>
      </c>
      <c r="H42" t="s">
        <v>16</v>
      </c>
      <c r="I42" s="18">
        <f>1048250000+59300000</f>
        <v>1107550000</v>
      </c>
    </row>
    <row r="43" spans="1:9" ht="30">
      <c r="A43" s="2" t="s">
        <v>16</v>
      </c>
      <c r="B43" s="2" t="s">
        <v>11</v>
      </c>
      <c r="C43" s="2" t="s">
        <v>79</v>
      </c>
      <c r="D43" s="5">
        <v>253000000</v>
      </c>
      <c r="F43">
        <v>9288178</v>
      </c>
      <c r="G43" t="s">
        <v>79</v>
      </c>
      <c r="H43" t="s">
        <v>16</v>
      </c>
      <c r="I43" s="18">
        <v>253000000</v>
      </c>
    </row>
    <row r="44" spans="1:9" ht="45">
      <c r="A44" s="2" t="s">
        <v>16</v>
      </c>
      <c r="B44" s="2" t="s">
        <v>11</v>
      </c>
      <c r="C44" s="2" t="s">
        <v>80</v>
      </c>
      <c r="D44" s="5">
        <v>45000000</v>
      </c>
      <c r="F44">
        <v>9288179</v>
      </c>
      <c r="G44" t="s">
        <v>80</v>
      </c>
      <c r="H44" t="s">
        <v>16</v>
      </c>
      <c r="I44" s="18">
        <v>45000000</v>
      </c>
    </row>
    <row r="45" spans="1:9" ht="30">
      <c r="A45" s="8" t="s">
        <v>16</v>
      </c>
      <c r="B45" s="8" t="s">
        <v>11</v>
      </c>
      <c r="C45" s="8" t="s">
        <v>81</v>
      </c>
      <c r="D45" s="9">
        <v>98860000</v>
      </c>
      <c r="F45">
        <v>9288134</v>
      </c>
      <c r="G45" t="s">
        <v>81</v>
      </c>
      <c r="H45" t="s">
        <v>16</v>
      </c>
      <c r="I45" s="18">
        <v>98860000</v>
      </c>
    </row>
    <row r="46" spans="1:9" ht="30">
      <c r="A46" s="2" t="s">
        <v>16</v>
      </c>
      <c r="B46" s="2" t="s">
        <v>82</v>
      </c>
      <c r="C46" s="2" t="s">
        <v>83</v>
      </c>
      <c r="D46" s="5">
        <v>75352000</v>
      </c>
      <c r="F46">
        <v>9288181</v>
      </c>
      <c r="G46" t="s">
        <v>83</v>
      </c>
      <c r="H46" t="s">
        <v>16</v>
      </c>
      <c r="I46" s="18">
        <v>75352000</v>
      </c>
    </row>
    <row r="47" spans="1:9" ht="30">
      <c r="A47" s="10" t="s">
        <v>16</v>
      </c>
      <c r="B47" s="10" t="s">
        <v>84</v>
      </c>
      <c r="C47" s="10" t="s">
        <v>88</v>
      </c>
      <c r="D47" s="11">
        <v>8000000</v>
      </c>
      <c r="F47">
        <v>9288183</v>
      </c>
      <c r="G47" t="s">
        <v>88</v>
      </c>
      <c r="H47" t="s">
        <v>16</v>
      </c>
      <c r="I47" s="18">
        <v>8000000</v>
      </c>
    </row>
    <row r="48" spans="1:9" ht="45">
      <c r="A48" s="2" t="s">
        <v>16</v>
      </c>
      <c r="B48" s="2" t="s">
        <v>108</v>
      </c>
      <c r="C48" s="2" t="s">
        <v>85</v>
      </c>
      <c r="D48" s="5">
        <v>7000000</v>
      </c>
      <c r="F48">
        <v>9288182</v>
      </c>
      <c r="G48" t="s">
        <v>85</v>
      </c>
      <c r="H48" t="s">
        <v>16</v>
      </c>
      <c r="I48" s="18">
        <v>7000000</v>
      </c>
    </row>
    <row r="49" spans="1:9" ht="30">
      <c r="A49" s="2" t="s">
        <v>16</v>
      </c>
      <c r="B49" s="2" t="s">
        <v>35</v>
      </c>
      <c r="C49" s="2" t="s">
        <v>89</v>
      </c>
      <c r="D49" s="5">
        <v>985935044</v>
      </c>
      <c r="F49">
        <v>9288198</v>
      </c>
      <c r="G49" t="s">
        <v>89</v>
      </c>
      <c r="H49" t="s">
        <v>16</v>
      </c>
      <c r="I49" s="18">
        <v>985935044</v>
      </c>
    </row>
    <row r="50" spans="1:9" ht="30">
      <c r="A50" s="2" t="s">
        <v>16</v>
      </c>
      <c r="B50" s="2" t="s">
        <v>90</v>
      </c>
      <c r="C50" s="2" t="s">
        <v>91</v>
      </c>
      <c r="D50" s="5">
        <v>3000000</v>
      </c>
      <c r="F50">
        <v>9288186</v>
      </c>
      <c r="G50" t="s">
        <v>91</v>
      </c>
      <c r="H50" t="s">
        <v>16</v>
      </c>
      <c r="I50" s="18">
        <v>3000000</v>
      </c>
    </row>
    <row r="51" spans="1:9" ht="30">
      <c r="A51" s="2" t="s">
        <v>16</v>
      </c>
      <c r="B51" s="2" t="s">
        <v>90</v>
      </c>
      <c r="C51" s="2" t="s">
        <v>93</v>
      </c>
      <c r="D51" s="5">
        <v>36000000</v>
      </c>
      <c r="F51">
        <v>9288187</v>
      </c>
      <c r="G51" t="s">
        <v>93</v>
      </c>
      <c r="H51" t="s">
        <v>16</v>
      </c>
      <c r="I51" s="18">
        <v>36000000</v>
      </c>
    </row>
    <row r="52" spans="1:9" ht="45">
      <c r="A52" s="2" t="s">
        <v>16</v>
      </c>
      <c r="B52" s="2" t="s">
        <v>90</v>
      </c>
      <c r="C52" s="2" t="s">
        <v>94</v>
      </c>
      <c r="D52" s="5">
        <v>8647600</v>
      </c>
      <c r="F52">
        <v>9288188</v>
      </c>
      <c r="G52" t="s">
        <v>94</v>
      </c>
      <c r="H52" t="s">
        <v>16</v>
      </c>
      <c r="I52" s="18">
        <v>8647600</v>
      </c>
    </row>
    <row r="53" spans="1:9" ht="30">
      <c r="A53" s="2" t="s">
        <v>16</v>
      </c>
      <c r="B53" s="2" t="s">
        <v>90</v>
      </c>
      <c r="C53" s="2" t="s">
        <v>95</v>
      </c>
      <c r="D53" s="5">
        <v>300000</v>
      </c>
      <c r="F53">
        <v>9288189</v>
      </c>
      <c r="G53" t="s">
        <v>95</v>
      </c>
      <c r="H53" t="s">
        <v>16</v>
      </c>
      <c r="I53" s="18">
        <v>300000</v>
      </c>
    </row>
    <row r="54" spans="1:9" ht="30">
      <c r="A54" s="2" t="s">
        <v>16</v>
      </c>
      <c r="B54" s="2" t="s">
        <v>90</v>
      </c>
      <c r="C54" s="2" t="s">
        <v>96</v>
      </c>
      <c r="D54" s="5">
        <v>749679</v>
      </c>
      <c r="F54">
        <v>9288195</v>
      </c>
      <c r="G54" t="s">
        <v>96</v>
      </c>
      <c r="H54" t="s">
        <v>16</v>
      </c>
      <c r="I54" s="18">
        <v>749679</v>
      </c>
    </row>
    <row r="55" spans="1:9" ht="30">
      <c r="A55" s="8" t="s">
        <v>16</v>
      </c>
      <c r="B55" s="8" t="s">
        <v>90</v>
      </c>
      <c r="C55" s="8" t="s">
        <v>97</v>
      </c>
      <c r="D55" s="9">
        <v>23000005</v>
      </c>
      <c r="F55">
        <v>9288213</v>
      </c>
      <c r="G55" t="s">
        <v>97</v>
      </c>
      <c r="H55" t="s">
        <v>16</v>
      </c>
      <c r="I55" s="18">
        <v>23000005</v>
      </c>
    </row>
    <row r="56" spans="1:9" ht="60">
      <c r="A56" s="2" t="s">
        <v>33</v>
      </c>
      <c r="B56" s="2" t="s">
        <v>84</v>
      </c>
      <c r="C56" s="2" t="s">
        <v>99</v>
      </c>
      <c r="D56" s="5">
        <v>100000000</v>
      </c>
      <c r="F56">
        <v>9288190</v>
      </c>
      <c r="G56" t="s">
        <v>99</v>
      </c>
      <c r="H56" t="s">
        <v>99</v>
      </c>
      <c r="I56" s="18">
        <v>100000000</v>
      </c>
    </row>
    <row r="57" spans="1:9" ht="120">
      <c r="A57" s="10" t="s">
        <v>100</v>
      </c>
      <c r="B57" s="10" t="s">
        <v>84</v>
      </c>
      <c r="C57" s="10" t="s">
        <v>101</v>
      </c>
      <c r="D57" s="11">
        <v>100000000</v>
      </c>
      <c r="F57">
        <v>9288192</v>
      </c>
      <c r="G57" t="s">
        <v>101</v>
      </c>
      <c r="H57" t="s">
        <v>128</v>
      </c>
      <c r="I57" s="18">
        <v>100000000</v>
      </c>
    </row>
    <row r="58" spans="1:9" ht="120">
      <c r="A58" s="2" t="s">
        <v>100</v>
      </c>
      <c r="B58" s="2" t="s">
        <v>84</v>
      </c>
      <c r="C58" s="2" t="s">
        <v>102</v>
      </c>
      <c r="D58" s="5">
        <v>210000000</v>
      </c>
      <c r="F58">
        <v>9288191</v>
      </c>
      <c r="G58" t="s">
        <v>102</v>
      </c>
      <c r="H58" t="s">
        <v>128</v>
      </c>
      <c r="I58" s="18">
        <v>210000000</v>
      </c>
    </row>
    <row r="59" spans="1:9" ht="45">
      <c r="A59" s="2" t="s">
        <v>16</v>
      </c>
      <c r="B59" s="2" t="s">
        <v>54</v>
      </c>
      <c r="C59" s="2" t="s">
        <v>58</v>
      </c>
      <c r="D59" s="5">
        <v>14000000</v>
      </c>
      <c r="F59" t="e">
        <v>#N/A</v>
      </c>
      <c r="G59" t="s">
        <v>58</v>
      </c>
      <c r="H59" t="s">
        <v>16</v>
      </c>
      <c r="I59" s="18">
        <v>14000000</v>
      </c>
    </row>
    <row r="61" spans="1:9">
      <c r="D61" s="4">
        <f>SUM(D4:D59)</f>
        <v>11074431467.960003</v>
      </c>
    </row>
    <row r="64" spans="1:9">
      <c r="D64" s="14"/>
    </row>
  </sheetData>
  <autoFilter ref="A3:D66"/>
  <sortState ref="A4:D58">
    <sortCondition ref="A4:A58"/>
  </sortState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1"/>
  <sheetViews>
    <sheetView zoomScale="80" zoomScaleNormal="80" zoomScalePageLayoutView="80" workbookViewId="0">
      <selection activeCell="C23" sqref="C23"/>
    </sheetView>
  </sheetViews>
  <sheetFormatPr defaultRowHeight="15"/>
  <cols>
    <col min="1" max="1" width="10.5703125" style="1" customWidth="1"/>
    <col min="2" max="2" width="13" style="1" customWidth="1"/>
    <col min="3" max="3" width="43.5703125" style="1" customWidth="1"/>
    <col min="4" max="4" width="21.42578125" style="4" bestFit="1" customWidth="1"/>
    <col min="5" max="16384" width="9.140625" style="1"/>
  </cols>
  <sheetData>
    <row r="1" spans="1:4">
      <c r="A1" s="15" t="s">
        <v>110</v>
      </c>
      <c r="B1" s="15"/>
      <c r="C1" s="15"/>
      <c r="D1" s="15"/>
    </row>
    <row r="3" spans="1:4" ht="30">
      <c r="A3" s="2" t="s">
        <v>0</v>
      </c>
      <c r="B3" s="2" t="s">
        <v>1</v>
      </c>
      <c r="C3" s="2" t="s">
        <v>113</v>
      </c>
      <c r="D3" s="5" t="s">
        <v>103</v>
      </c>
    </row>
    <row r="4" spans="1:4" ht="45">
      <c r="A4" s="2" t="s">
        <v>16</v>
      </c>
      <c r="B4" s="2" t="s">
        <v>20</v>
      </c>
      <c r="C4" s="2" t="s">
        <v>21</v>
      </c>
      <c r="D4" s="5">
        <v>0</v>
      </c>
    </row>
    <row r="5" spans="1:4" ht="45">
      <c r="A5" s="2" t="s">
        <v>16</v>
      </c>
      <c r="B5" s="2" t="s">
        <v>24</v>
      </c>
      <c r="C5" s="2" t="s">
        <v>27</v>
      </c>
      <c r="D5" s="5">
        <v>0</v>
      </c>
    </row>
    <row r="6" spans="1:4" ht="30">
      <c r="A6" s="2" t="s">
        <v>16</v>
      </c>
      <c r="B6" s="2" t="s">
        <v>24</v>
      </c>
      <c r="C6" s="2" t="s">
        <v>28</v>
      </c>
      <c r="D6" s="5">
        <v>0</v>
      </c>
    </row>
    <row r="7" spans="1:4" ht="30">
      <c r="A7" s="2" t="s">
        <v>16</v>
      </c>
      <c r="B7" s="2" t="s">
        <v>24</v>
      </c>
      <c r="C7" s="2" t="s">
        <v>30</v>
      </c>
      <c r="D7" s="5">
        <v>0</v>
      </c>
    </row>
    <row r="8" spans="1:4">
      <c r="A8" s="2" t="s">
        <v>16</v>
      </c>
      <c r="B8" s="2" t="s">
        <v>37</v>
      </c>
      <c r="C8" s="2" t="s">
        <v>38</v>
      </c>
      <c r="D8" s="5">
        <v>0</v>
      </c>
    </row>
    <row r="9" spans="1:4" ht="30">
      <c r="A9" s="2" t="s">
        <v>16</v>
      </c>
      <c r="B9" s="2" t="s">
        <v>54</v>
      </c>
      <c r="C9" s="2" t="s">
        <v>55</v>
      </c>
      <c r="D9" s="5">
        <v>0</v>
      </c>
    </row>
    <row r="10" spans="1:4" ht="30">
      <c r="A10" s="2" t="s">
        <v>16</v>
      </c>
      <c r="B10" s="2" t="s">
        <v>54</v>
      </c>
      <c r="C10" s="2" t="s">
        <v>59</v>
      </c>
      <c r="D10" s="5">
        <v>0</v>
      </c>
    </row>
    <row r="11" spans="1:4" ht="30">
      <c r="A11" s="2" t="s">
        <v>16</v>
      </c>
      <c r="B11" s="2" t="s">
        <v>61</v>
      </c>
      <c r="C11" s="2" t="s">
        <v>62</v>
      </c>
      <c r="D11" s="5">
        <v>0</v>
      </c>
    </row>
    <row r="12" spans="1:4" ht="45">
      <c r="A12" s="2" t="s">
        <v>16</v>
      </c>
      <c r="B12" s="2" t="s">
        <v>61</v>
      </c>
      <c r="C12" s="2" t="s">
        <v>64</v>
      </c>
      <c r="D12" s="5">
        <v>0</v>
      </c>
    </row>
    <row r="13" spans="1:4">
      <c r="A13" s="2" t="s">
        <v>16</v>
      </c>
      <c r="B13" s="2" t="s">
        <v>4</v>
      </c>
      <c r="C13" s="2" t="s">
        <v>74</v>
      </c>
      <c r="D13" s="5">
        <v>0</v>
      </c>
    </row>
    <row r="14" spans="1:4" ht="60">
      <c r="A14" s="2" t="s">
        <v>16</v>
      </c>
      <c r="B14" s="2" t="s">
        <v>11</v>
      </c>
      <c r="C14" s="2" t="s">
        <v>75</v>
      </c>
      <c r="D14" s="5">
        <v>0</v>
      </c>
    </row>
    <row r="15" spans="1:4" ht="30">
      <c r="A15" s="2" t="s">
        <v>16</v>
      </c>
      <c r="B15" s="2" t="s">
        <v>11</v>
      </c>
      <c r="C15" s="2" t="s">
        <v>76</v>
      </c>
      <c r="D15" s="5">
        <v>0</v>
      </c>
    </row>
    <row r="16" spans="1:4" ht="30">
      <c r="A16" s="2" t="s">
        <v>16</v>
      </c>
      <c r="B16" s="2" t="s">
        <v>11</v>
      </c>
      <c r="C16" s="2" t="s">
        <v>77</v>
      </c>
      <c r="D16" s="5">
        <v>0</v>
      </c>
    </row>
    <row r="17" spans="1:4" ht="45">
      <c r="A17" s="2" t="s">
        <v>16</v>
      </c>
      <c r="B17" s="2" t="s">
        <v>11</v>
      </c>
      <c r="C17" s="2" t="s">
        <v>78</v>
      </c>
      <c r="D17" s="5">
        <v>0</v>
      </c>
    </row>
    <row r="18" spans="1:4">
      <c r="A18" s="2" t="s">
        <v>16</v>
      </c>
      <c r="B18" s="2" t="s">
        <v>84</v>
      </c>
      <c r="C18" s="2" t="s">
        <v>86</v>
      </c>
      <c r="D18" s="5">
        <v>0</v>
      </c>
    </row>
    <row r="19" spans="1:4">
      <c r="A19" s="2" t="s">
        <v>16</v>
      </c>
      <c r="B19" s="2" t="s">
        <v>84</v>
      </c>
      <c r="C19" s="2" t="s">
        <v>87</v>
      </c>
      <c r="D19" s="5">
        <v>0</v>
      </c>
    </row>
    <row r="20" spans="1:4" ht="30">
      <c r="A20" s="2" t="s">
        <v>16</v>
      </c>
      <c r="B20" s="2" t="s">
        <v>90</v>
      </c>
      <c r="C20" s="2" t="s">
        <v>92</v>
      </c>
      <c r="D20" s="5">
        <v>0</v>
      </c>
    </row>
    <row r="21" spans="1:4" ht="30">
      <c r="A21" s="2" t="s">
        <v>16</v>
      </c>
      <c r="B21" s="2" t="s">
        <v>90</v>
      </c>
      <c r="C21" s="2" t="s">
        <v>98</v>
      </c>
      <c r="D21" s="5">
        <v>0</v>
      </c>
    </row>
  </sheetData>
  <autoFilter ref="A3:D21">
    <sortState ref="A5:E79">
      <sortCondition ref="A5:A79"/>
      <sortCondition ref="B5:B79"/>
      <sortCondition ref="C5:C79"/>
    </sortState>
  </autoFilter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view="pageLayout" zoomScale="70" zoomScaleNormal="80" zoomScalePageLayoutView="70" workbookViewId="0">
      <selection activeCell="C4" sqref="C4"/>
    </sheetView>
  </sheetViews>
  <sheetFormatPr defaultRowHeight="15"/>
  <cols>
    <col min="1" max="1" width="10.5703125" style="1" customWidth="1"/>
    <col min="2" max="2" width="9" style="1" customWidth="1"/>
    <col min="3" max="3" width="52.85546875" style="1" customWidth="1"/>
    <col min="4" max="4" width="16.42578125" style="4" customWidth="1"/>
    <col min="5" max="16384" width="9.140625" style="1"/>
  </cols>
  <sheetData>
    <row r="1" spans="1:4">
      <c r="A1" s="15" t="s">
        <v>111</v>
      </c>
      <c r="B1" s="15"/>
      <c r="C1" s="15"/>
      <c r="D1" s="15"/>
    </row>
    <row r="3" spans="1:4" ht="30">
      <c r="A3" s="7" t="s">
        <v>0</v>
      </c>
      <c r="B3" s="7" t="s">
        <v>1</v>
      </c>
      <c r="C3" s="7" t="s">
        <v>113</v>
      </c>
      <c r="D3" s="5" t="s">
        <v>103</v>
      </c>
    </row>
    <row r="4" spans="1:4" ht="30">
      <c r="A4" s="3" t="s">
        <v>16</v>
      </c>
      <c r="B4" s="3" t="s">
        <v>11</v>
      </c>
      <c r="C4" s="3" t="s">
        <v>104</v>
      </c>
      <c r="D4" s="5">
        <v>0</v>
      </c>
    </row>
    <row r="5" spans="1:4">
      <c r="A5" s="3" t="s">
        <v>16</v>
      </c>
      <c r="B5" s="3" t="s">
        <v>41</v>
      </c>
      <c r="C5" s="3" t="s">
        <v>105</v>
      </c>
      <c r="D5" s="5">
        <v>0</v>
      </c>
    </row>
    <row r="6" spans="1:4" ht="30">
      <c r="A6" s="3" t="s">
        <v>16</v>
      </c>
      <c r="B6" s="3" t="s">
        <v>41</v>
      </c>
      <c r="C6" s="3" t="s">
        <v>106</v>
      </c>
      <c r="D6" s="5">
        <v>0</v>
      </c>
    </row>
    <row r="7" spans="1:4">
      <c r="A7" s="3" t="s">
        <v>16</v>
      </c>
      <c r="B7" s="3" t="s">
        <v>41</v>
      </c>
      <c r="C7" s="3" t="s">
        <v>107</v>
      </c>
      <c r="D7" s="5">
        <v>0</v>
      </c>
    </row>
  </sheetData>
  <autoFilter ref="A3:D7">
    <sortState ref="A5:E79">
      <sortCondition ref="A5:A79"/>
      <sortCondition ref="B5:B79"/>
      <sortCondition ref="C5:C79"/>
    </sortState>
  </autoFilter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1:C61"/>
  <sheetViews>
    <sheetView workbookViewId="0">
      <selection activeCell="B1" sqref="B1:C61"/>
    </sheetView>
  </sheetViews>
  <sheetFormatPr defaultRowHeight="15"/>
  <sheetData>
    <row r="1" spans="2:3">
      <c r="B1" s="16" t="s">
        <v>116</v>
      </c>
      <c r="C1" s="16" t="s">
        <v>117</v>
      </c>
    </row>
    <row r="2" spans="2:3">
      <c r="B2" t="s">
        <v>7</v>
      </c>
      <c r="C2">
        <v>9288212</v>
      </c>
    </row>
    <row r="3" spans="2:3">
      <c r="B3" t="s">
        <v>13</v>
      </c>
      <c r="C3">
        <v>9288132</v>
      </c>
    </row>
    <row r="4" spans="2:3">
      <c r="B4" t="s">
        <v>15</v>
      </c>
      <c r="C4">
        <v>9288133</v>
      </c>
    </row>
    <row r="5" spans="2:3">
      <c r="B5" t="s">
        <v>14</v>
      </c>
      <c r="C5">
        <v>9288180</v>
      </c>
    </row>
    <row r="6" spans="2:3">
      <c r="B6" t="s">
        <v>118</v>
      </c>
      <c r="C6">
        <v>9288130</v>
      </c>
    </row>
    <row r="7" spans="2:3">
      <c r="B7" t="s">
        <v>18</v>
      </c>
      <c r="C7">
        <v>9288176</v>
      </c>
    </row>
    <row r="8" spans="2:3">
      <c r="B8" t="s">
        <v>5</v>
      </c>
      <c r="C8">
        <v>9288185</v>
      </c>
    </row>
    <row r="9" spans="2:3">
      <c r="B9" t="s">
        <v>19</v>
      </c>
      <c r="C9">
        <v>9288139</v>
      </c>
    </row>
    <row r="10" spans="2:3">
      <c r="B10" t="s">
        <v>23</v>
      </c>
      <c r="C10">
        <v>9288135</v>
      </c>
    </row>
    <row r="11" spans="2:3">
      <c r="B11" t="s">
        <v>25</v>
      </c>
      <c r="C11">
        <v>9288169</v>
      </c>
    </row>
    <row r="12" spans="2:3">
      <c r="B12" t="s">
        <v>26</v>
      </c>
      <c r="C12">
        <v>9288168</v>
      </c>
    </row>
    <row r="13" spans="2:3">
      <c r="B13" t="s">
        <v>29</v>
      </c>
      <c r="C13">
        <v>9288167</v>
      </c>
    </row>
    <row r="14" spans="2:3">
      <c r="B14" t="s">
        <v>32</v>
      </c>
      <c r="C14">
        <v>9288155</v>
      </c>
    </row>
    <row r="15" spans="2:3">
      <c r="B15" t="s">
        <v>36</v>
      </c>
      <c r="C15">
        <v>9288136</v>
      </c>
    </row>
    <row r="16" spans="2:3">
      <c r="B16" t="s">
        <v>39</v>
      </c>
      <c r="C16">
        <v>9288214</v>
      </c>
    </row>
    <row r="17" spans="2:3">
      <c r="B17" t="s">
        <v>40</v>
      </c>
      <c r="C17">
        <v>9288209</v>
      </c>
    </row>
    <row r="18" spans="2:3">
      <c r="B18" t="s">
        <v>42</v>
      </c>
      <c r="C18">
        <v>9288147</v>
      </c>
    </row>
    <row r="19" spans="2:3">
      <c r="B19" t="s">
        <v>93</v>
      </c>
      <c r="C19">
        <v>9288187</v>
      </c>
    </row>
    <row r="20" spans="2:3">
      <c r="B20" t="s">
        <v>45</v>
      </c>
      <c r="C20">
        <v>9288141</v>
      </c>
    </row>
    <row r="21" spans="2:3">
      <c r="B21" t="s">
        <v>48</v>
      </c>
      <c r="C21">
        <v>9288142</v>
      </c>
    </row>
    <row r="22" spans="2:3">
      <c r="B22" t="s">
        <v>49</v>
      </c>
      <c r="C22">
        <v>9288193</v>
      </c>
    </row>
    <row r="23" spans="2:3">
      <c r="B23" t="s">
        <v>50</v>
      </c>
      <c r="C23">
        <v>9288194</v>
      </c>
    </row>
    <row r="24" spans="2:3">
      <c r="B24" t="s">
        <v>51</v>
      </c>
      <c r="C24">
        <v>9288149</v>
      </c>
    </row>
    <row r="25" spans="2:3">
      <c r="B25" t="s">
        <v>53</v>
      </c>
      <c r="C25">
        <v>9288143</v>
      </c>
    </row>
    <row r="26" spans="2:3">
      <c r="B26" t="s">
        <v>56</v>
      </c>
      <c r="C26">
        <v>9288144</v>
      </c>
    </row>
    <row r="27" spans="2:3">
      <c r="B27" t="s">
        <v>57</v>
      </c>
      <c r="C27">
        <v>9288196</v>
      </c>
    </row>
    <row r="28" spans="2:3">
      <c r="B28" t="s">
        <v>60</v>
      </c>
      <c r="C28">
        <v>9288145</v>
      </c>
    </row>
    <row r="29" spans="2:3">
      <c r="B29" t="s">
        <v>63</v>
      </c>
      <c r="C29">
        <v>9288137</v>
      </c>
    </row>
    <row r="30" spans="2:3">
      <c r="B30" t="s">
        <v>65</v>
      </c>
      <c r="C30">
        <v>9288148</v>
      </c>
    </row>
    <row r="31" spans="2:3">
      <c r="B31" t="s">
        <v>66</v>
      </c>
      <c r="C31">
        <v>9288138</v>
      </c>
    </row>
    <row r="32" spans="2:3">
      <c r="B32" t="s">
        <v>67</v>
      </c>
      <c r="C32">
        <v>9288150</v>
      </c>
    </row>
    <row r="33" spans="2:3">
      <c r="B33" t="s">
        <v>68</v>
      </c>
      <c r="C33">
        <v>9321270</v>
      </c>
    </row>
    <row r="34" spans="2:3">
      <c r="B34" t="s">
        <v>69</v>
      </c>
      <c r="C34">
        <v>9288152</v>
      </c>
    </row>
    <row r="35" spans="2:3">
      <c r="B35" t="s">
        <v>70</v>
      </c>
      <c r="C35">
        <v>9288153</v>
      </c>
    </row>
    <row r="36" spans="2:3">
      <c r="B36" t="s">
        <v>71</v>
      </c>
      <c r="C36">
        <v>9288154</v>
      </c>
    </row>
    <row r="37" spans="2:3">
      <c r="B37" t="s">
        <v>72</v>
      </c>
      <c r="C37">
        <v>9288210</v>
      </c>
    </row>
    <row r="38" spans="2:3">
      <c r="B38" t="s">
        <v>73</v>
      </c>
      <c r="C38">
        <v>9288211</v>
      </c>
    </row>
    <row r="39" spans="2:3">
      <c r="B39" t="s">
        <v>119</v>
      </c>
      <c r="C39">
        <v>9288177</v>
      </c>
    </row>
    <row r="40" spans="2:3">
      <c r="B40" t="s">
        <v>79</v>
      </c>
      <c r="C40">
        <v>9288178</v>
      </c>
    </row>
    <row r="41" spans="2:3">
      <c r="B41" t="s">
        <v>80</v>
      </c>
      <c r="C41">
        <v>9288179</v>
      </c>
    </row>
    <row r="42" spans="2:3">
      <c r="B42" t="s">
        <v>81</v>
      </c>
      <c r="C42">
        <v>9288134</v>
      </c>
    </row>
    <row r="43" spans="2:3">
      <c r="B43" t="s">
        <v>83</v>
      </c>
      <c r="C43">
        <v>9288181</v>
      </c>
    </row>
    <row r="44" spans="2:3">
      <c r="B44" t="s">
        <v>85</v>
      </c>
      <c r="C44">
        <v>9288182</v>
      </c>
    </row>
    <row r="45" spans="2:3">
      <c r="B45" t="s">
        <v>88</v>
      </c>
      <c r="C45">
        <v>9288183</v>
      </c>
    </row>
    <row r="46" spans="2:3">
      <c r="B46" t="s">
        <v>89</v>
      </c>
      <c r="C46">
        <v>9288198</v>
      </c>
    </row>
    <row r="47" spans="2:3">
      <c r="B47" t="s">
        <v>91</v>
      </c>
      <c r="C47">
        <v>9288186</v>
      </c>
    </row>
    <row r="48" spans="2:3">
      <c r="B48" t="s">
        <v>93</v>
      </c>
      <c r="C48">
        <v>9288187</v>
      </c>
    </row>
    <row r="49" spans="2:3">
      <c r="B49" t="s">
        <v>94</v>
      </c>
      <c r="C49">
        <v>9288188</v>
      </c>
    </row>
    <row r="50" spans="2:3">
      <c r="B50" t="s">
        <v>95</v>
      </c>
      <c r="C50">
        <v>9288189</v>
      </c>
    </row>
    <row r="51" spans="2:3">
      <c r="B51" t="s">
        <v>96</v>
      </c>
      <c r="C51">
        <v>9288195</v>
      </c>
    </row>
    <row r="52" spans="2:3">
      <c r="B52" t="s">
        <v>97</v>
      </c>
      <c r="C52">
        <v>9288213</v>
      </c>
    </row>
    <row r="53" spans="2:3">
      <c r="B53" t="s">
        <v>99</v>
      </c>
      <c r="C53">
        <v>9288190</v>
      </c>
    </row>
    <row r="54" spans="2:3">
      <c r="B54" t="s">
        <v>101</v>
      </c>
      <c r="C54">
        <v>9288192</v>
      </c>
    </row>
    <row r="55" spans="2:3">
      <c r="B55" t="s">
        <v>120</v>
      </c>
      <c r="C55">
        <v>9288191</v>
      </c>
    </row>
    <row r="56" spans="2:3">
      <c r="B56" t="s">
        <v>121</v>
      </c>
      <c r="C56" s="17">
        <v>9245981</v>
      </c>
    </row>
    <row r="57" spans="2:3">
      <c r="B57" t="s">
        <v>122</v>
      </c>
      <c r="C57" s="17">
        <v>9246001</v>
      </c>
    </row>
    <row r="58" spans="2:3">
      <c r="B58" t="s">
        <v>123</v>
      </c>
      <c r="C58" s="17">
        <v>9249104</v>
      </c>
    </row>
    <row r="59" spans="2:3">
      <c r="B59" t="s">
        <v>124</v>
      </c>
      <c r="C59" s="17">
        <v>9260630</v>
      </c>
    </row>
    <row r="60" spans="2:3">
      <c r="B60" t="s">
        <v>125</v>
      </c>
      <c r="C60">
        <v>9313593</v>
      </c>
    </row>
    <row r="61" spans="2:3">
      <c r="B61" t="s">
        <v>126</v>
      </c>
      <c r="C61" s="17">
        <v>9245963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1 - Projetos com valor</vt:lpstr>
      <vt:lpstr>Tabela 2 - Projetos postergados</vt:lpstr>
      <vt:lpstr>Tabela 3 Projetos não incluí PL</vt:lpstr>
      <vt:lpstr>Plan1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peluc</cp:lastModifiedBy>
  <dcterms:created xsi:type="dcterms:W3CDTF">2021-08-18T17:12:46Z</dcterms:created>
  <dcterms:modified xsi:type="dcterms:W3CDTF">2022-04-29T11:43:12Z</dcterms:modified>
</cp:coreProperties>
</file>